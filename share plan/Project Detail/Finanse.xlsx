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529"/>
  <workbookPr/>
  <mc:AlternateContent xmlns:mc="http://schemas.openxmlformats.org/markup-compatibility/2006">
    <mc:Choice Requires="x15">
      <x15ac:absPath xmlns:x15ac="http://schemas.microsoft.com/office/spreadsheetml/2010/11/ac" url="C:\Users\yamen\Desktop\Project Detail\"/>
    </mc:Choice>
  </mc:AlternateContent>
  <xr:revisionPtr revIDLastSave="0" documentId="13_ncr:1_{5B29D092-EC6F-4D4C-A315-FE01792F9652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Fixed Cost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9" i="1" l="1"/>
  <c r="B4" i="1"/>
  <c r="D4" i="1" s="1"/>
  <c r="L8" i="1" s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  <c r="B33" i="1"/>
  <c r="B34" i="1"/>
  <c r="B35" i="1"/>
  <c r="B36" i="1"/>
  <c r="B37" i="1"/>
  <c r="B38" i="1"/>
  <c r="B39" i="1"/>
  <c r="B40" i="1"/>
  <c r="B41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" i="1" l="1"/>
</calcChain>
</file>

<file path=xl/sharedStrings.xml><?xml version="1.0" encoding="utf-8"?>
<sst xmlns="http://schemas.openxmlformats.org/spreadsheetml/2006/main" count="18" uniqueCount="17">
  <si>
    <t>Base Amount</t>
  </si>
  <si>
    <t>Vat</t>
  </si>
  <si>
    <t>Vat%</t>
  </si>
  <si>
    <t>Total</t>
  </si>
  <si>
    <t>Total Paid</t>
  </si>
  <si>
    <t>Description</t>
  </si>
  <si>
    <t>Store</t>
  </si>
  <si>
    <t>Delivery Fees</t>
  </si>
  <si>
    <t>Issuer</t>
  </si>
  <si>
    <t>Yamen</t>
  </si>
  <si>
    <t>Example</t>
  </si>
  <si>
    <t>Amzn</t>
  </si>
  <si>
    <t>NOTICE: Before filling out any table, please check the instruction file.</t>
  </si>
  <si>
    <t>N/A</t>
  </si>
  <si>
    <t>DETAILED Fixed Costs</t>
  </si>
  <si>
    <t>Analysis</t>
  </si>
  <si>
    <t>Totat VAT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</si>
</sst>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SAR]\ #,##0.00"/>
  </numFmts>
  <fonts count="5" x14ac:knownFonts="1">
    <font>
      <sz val="11"/>
      <color theme="1"/>
      <name val="Calibri"/>
      <family val="2"/>
      <scheme val="minor"/>
    </font>
    <font>
      <b/>
      <sz val="22"/>
      <color theme="1"/>
      <name val="Amasis MT Pro Black"/>
      <family val="1"/>
    </font>
    <font>
      <b/>
      <sz val="14"/>
      <color theme="1" tint="4.9989318521683403E-2"/>
      <name val="Times New Roman"/>
      <family val="1"/>
    </font>
    <font>
      <b/>
      <sz val="14"/>
      <color rgb="FFFF0000"/>
      <name val="Times New Roman"/>
      <family val="1"/>
    </font>
    <font>
      <b/>
      <sz val="18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2" fillId="0" borderId="0" xfId="0" applyFont="1" applyAlignment="1">
      <alignment horizontal="center"/>
    </xf>
    <xf numFmtId="164" fontId="0" fillId="0" borderId="0" xfId="0" applyNumberFormat="1"/>
    <xf numFmtId="0" fontId="1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/>
    </xf>
    <xf numFmtId="10" fontId="0" fillId="0" borderId="0" xfId="0" applyNumberFormat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0" fontId="4" fillId="0" borderId="0" xfId="0" applyFont="1" applyAlignment="1">
      <alignment horizontal="center" vertical="center"/>
    </xf>
  </cellXfs>
  <cellStyles count="1">
    <cellStyle name="Normal" xfId="0" builtinId="0"/>
  </cellStyles>
  <dxfs count="11">
    <dxf>
      <numFmt numFmtId="164" formatCode="[$SAR]\ #,##0.00"/>
      <alignment horizontal="center" vertical="center" textRotation="0" wrapText="0" indent="0" justifyLastLine="0" shrinkToFit="0" readingOrder="0"/>
    </dxf>
    <dxf>
      <numFmt numFmtId="164" formatCode="[$SAR]\ #,##0.00"/>
      <alignment horizontal="center" vertical="center" textRotation="0" wrapText="0" indent="0" justifyLastLine="0" shrinkToFit="0" readingOrder="0"/>
    </dxf>
    <dxf>
      <numFmt numFmtId="14" formatCode="0.00%"/>
      <alignment horizontal="center" vertical="center" textRotation="0" wrapText="0" indent="0" justifyLastLine="0" shrinkToFit="0" readingOrder="0"/>
    </dxf>
    <dxf>
      <numFmt numFmtId="164" formatCode="[$SAR]\ #,##0.00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164" formatCode="[$SAR]\ #,##0.00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 tint="4.9989318521683403E-2"/>
        <name val="Times New Roman"/>
        <family val="1"/>
        <scheme val="none"/>
      </font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8D684F3C-6159-42B2-9C07-D09D7184CDEA}" name="Table3" displayName="Table3" ref="A3:I41" totalsRowShown="0" headerRowDxfId="10" dataDxfId="4">
  <autoFilter ref="A3:I41" xr:uid="{8D684F3C-6159-42B2-9C07-D09D7184CDEA}"/>
  <tableColumns count="9">
    <tableColumn id="1" xr3:uid="{60F06B9E-2879-4EEC-ABB8-CF723142A452}" name="Base Amount" dataDxfId="3"/>
    <tableColumn id="2" xr3:uid="{A3CDD5EE-1605-45AC-9295-0A1E672C49F1}" name="Vat" dataDxfId="1">
      <calculatedColumnFormula>IF(Table3[[#This Row],[Base Amount]]="","",15/100*Table3[[#This Row],[Base Amount]])</calculatedColumnFormula>
    </tableColumn>
    <tableColumn id="3" xr3:uid="{BD4F386E-BE3B-46E0-866B-48CEA209479F}" name="Vat%" dataDxfId="2">
      <calculatedColumnFormula>IF(Table3[[#This Row],[Base Amount]]="","",ROUND(Table3[[#This Row],[Vat]]/Table3[[#This Row],[Base Amount]],2))</calculatedColumnFormula>
    </tableColumn>
    <tableColumn id="4" xr3:uid="{B50D040B-A231-47B2-AF70-13E02DB93081}" name="Total" dataDxfId="0">
      <calculatedColumnFormula>IF(Table3[[#This Row],[Base Amount]]="","",Table3[[#This Row],[Base Amount]]+Table3[[#This Row],[Vat]])</calculatedColumnFormula>
    </tableColumn>
    <tableColumn id="5" xr3:uid="{CECED531-D0D5-4906-B2D9-377283858EC2}" name="Total Paid" dataDxfId="9"/>
    <tableColumn id="6" xr3:uid="{4E4B7A1F-FE3F-41D1-A614-C5EB1CA42653}" name="Description" dataDxfId="8"/>
    <tableColumn id="7" xr3:uid="{7FA11B51-94D8-4066-8C00-265198BF19CE}" name="Store" dataDxfId="7"/>
    <tableColumn id="8" xr3:uid="{E9B3A939-CFF1-4FB4-8881-C3C896A928B2}" name="Delivery Fees" dataDxfId="6"/>
    <tableColumn id="9" xr3:uid="{03FD7EF3-442B-4E52-8033-E17A38D37965}" name="Issuer" dataDxfId="5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41"/>
  <sheetViews>
    <sheetView tabSelected="1" workbookViewId="0">
      <selection activeCell="H15" sqref="H15"/>
    </sheetView>
  </sheetViews>
  <sheetFormatPr defaultRowHeight="15" x14ac:dyDescent="0.25"/>
  <cols>
    <col min="1" max="1" width="21.5703125" bestFit="1" customWidth="1"/>
    <col min="2" max="2" width="10" bestFit="1" customWidth="1"/>
    <col min="3" max="3" width="12.5703125" bestFit="1" customWidth="1"/>
    <col min="4" max="4" width="12.140625" bestFit="1" customWidth="1"/>
    <col min="5" max="5" width="18.28515625" bestFit="1" customWidth="1"/>
    <col min="6" max="6" width="19.42578125" bestFit="1" customWidth="1"/>
    <col min="7" max="7" width="12.140625" bestFit="1" customWidth="1"/>
    <col min="8" max="8" width="21.85546875" bestFit="1" customWidth="1"/>
    <col min="9" max="9" width="13" bestFit="1" customWidth="1"/>
    <col min="11" max="11" width="9.5703125" bestFit="1" customWidth="1"/>
    <col min="12" max="12" width="10.42578125" bestFit="1" customWidth="1"/>
  </cols>
  <sheetData>
    <row r="1" spans="1:15" ht="15" customHeight="1" x14ac:dyDescent="0.25">
      <c r="A1" s="3" t="s">
        <v>14</v>
      </c>
      <c r="B1" s="3"/>
      <c r="C1" s="3"/>
      <c r="D1" s="3"/>
      <c r="E1" s="3"/>
      <c r="F1" s="3"/>
      <c r="G1" s="3"/>
      <c r="H1" s="3"/>
      <c r="I1" s="3"/>
    </row>
    <row r="2" spans="1:15" ht="15" customHeight="1" x14ac:dyDescent="0.25">
      <c r="A2" s="3"/>
      <c r="B2" s="3"/>
      <c r="C2" s="3"/>
      <c r="D2" s="3"/>
      <c r="E2" s="3"/>
      <c r="F2" s="3"/>
      <c r="G2" s="3"/>
      <c r="H2" s="3"/>
      <c r="I2" s="3"/>
      <c r="K2" s="4" t="s">
        <v>12</v>
      </c>
      <c r="L2" s="4"/>
      <c r="M2" s="4"/>
      <c r="N2" s="4"/>
      <c r="O2" s="4"/>
    </row>
    <row r="3" spans="1:15" ht="18.75" customHeight="1" x14ac:dyDescent="0.3">
      <c r="A3" s="1" t="s">
        <v>0</v>
      </c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8</v>
      </c>
      <c r="K3" s="4"/>
      <c r="L3" s="4"/>
      <c r="M3" s="4"/>
      <c r="N3" s="4"/>
      <c r="O3" s="4"/>
    </row>
    <row r="4" spans="1:15" x14ac:dyDescent="0.25">
      <c r="A4" s="7">
        <v>100</v>
      </c>
      <c r="B4" s="7">
        <f>IF(Table3[[#This Row],[Base Amount]]="","",15/100*Table3[[#This Row],[Base Amount]])</f>
        <v>15</v>
      </c>
      <c r="C4" s="6">
        <f>IF(Table3[[#This Row],[Base Amount]]="","",ROUND(Table3[[#This Row],[Vat]]/Table3[[#This Row],[Base Amount]],2))</f>
        <v>0.15</v>
      </c>
      <c r="D4" s="7">
        <f>IF(Table3[[#This Row],[Base Amount]]="","",Table3[[#This Row],[Base Amount]]+Table3[[#This Row],[Vat]])</f>
        <v>115</v>
      </c>
      <c r="E4" s="5" t="s">
        <v>13</v>
      </c>
      <c r="F4" s="5" t="s">
        <v>10</v>
      </c>
      <c r="G4" s="5" t="s">
        <v>11</v>
      </c>
      <c r="H4" s="7">
        <v>0</v>
      </c>
      <c r="I4" s="5" t="s">
        <v>9</v>
      </c>
      <c r="K4" s="4"/>
      <c r="L4" s="4"/>
      <c r="M4" s="4"/>
      <c r="N4" s="4"/>
      <c r="O4" s="4"/>
    </row>
    <row r="5" spans="1:15" x14ac:dyDescent="0.25">
      <c r="A5" s="7"/>
      <c r="B5" s="7" t="str">
        <f>IF(Table3[[#This Row],[Base Amount]]="","",15/100*Table3[[#This Row],[Base Amount]])</f>
        <v/>
      </c>
      <c r="C5" s="6" t="str">
        <f>IF(Table3[[#This Row],[Base Amount]]="","",ROUND(Table3[[#This Row],[Vat]]/Table3[[#This Row],[Base Amount]],2))</f>
        <v/>
      </c>
      <c r="D5" s="7" t="str">
        <f>IF(Table3[[#This Row],[Base Amount]]="","",Table3[[#This Row],[Base Amount]]+Table3[[#This Row],[Vat]])</f>
        <v/>
      </c>
      <c r="E5" s="5"/>
      <c r="F5" s="5"/>
      <c r="G5" s="5"/>
      <c r="H5" s="7"/>
      <c r="I5" s="5"/>
    </row>
    <row r="6" spans="1:15" x14ac:dyDescent="0.25">
      <c r="A6" s="7"/>
      <c r="B6" s="7" t="str">
        <f>IF(Table3[[#This Row],[Base Amount]]="","",15/100*Table3[[#This Row],[Base Amount]])</f>
        <v/>
      </c>
      <c r="C6" s="6" t="str">
        <f>IF(Table3[[#This Row],[Base Amount]]="","",ROUND(Table3[[#This Row],[Vat]]/Table3[[#This Row],[Base Amount]],2))</f>
        <v/>
      </c>
      <c r="D6" s="7" t="str">
        <f>IF(Table3[[#This Row],[Base Amount]]="","",Table3[[#This Row],[Base Amount]]+Table3[[#This Row],[Vat]])</f>
        <v/>
      </c>
      <c r="E6" s="5"/>
      <c r="F6" s="5"/>
      <c r="G6" s="5"/>
      <c r="H6" s="7"/>
      <c r="I6" s="5"/>
      <c r="K6" s="8" t="s">
        <v>15</v>
      </c>
      <c r="L6" s="8"/>
      <c r="M6" s="8"/>
      <c r="N6" s="8"/>
      <c r="O6" s="8"/>
    </row>
    <row r="7" spans="1:15" x14ac:dyDescent="0.25">
      <c r="A7" s="7"/>
      <c r="B7" s="7" t="str">
        <f>IF(Table3[[#This Row],[Base Amount]]="","",15/100*Table3[[#This Row],[Base Amount]])</f>
        <v/>
      </c>
      <c r="C7" s="6" t="str">
        <f>IF(Table3[[#This Row],[Base Amount]]="","",ROUND(Table3[[#This Row],[Vat]]/Table3[[#This Row],[Base Amount]],2))</f>
        <v/>
      </c>
      <c r="D7" s="7" t="str">
        <f>IF(Table3[[#This Row],[Base Amount]]="","",Table3[[#This Row],[Base Amount]]+Table3[[#This Row],[Vat]])</f>
        <v/>
      </c>
      <c r="E7" s="5"/>
      <c r="F7" s="5"/>
      <c r="G7" s="5"/>
      <c r="H7" s="7"/>
      <c r="I7" s="5"/>
      <c r="K7" s="8"/>
      <c r="L7" s="8"/>
      <c r="M7" s="8"/>
      <c r="N7" s="8"/>
      <c r="O7" s="8"/>
    </row>
    <row r="8" spans="1:15" x14ac:dyDescent="0.25">
      <c r="A8" s="7"/>
      <c r="B8" s="7" t="str">
        <f>IF(Table3[[#This Row],[Base Amount]]="","",15/100*Table3[[#This Row],[Base Amount]])</f>
        <v/>
      </c>
      <c r="C8" s="6" t="str">
        <f>IF(Table3[[#This Row],[Base Amount]]="","",ROUND(Table3[[#This Row],[Vat]]/Table3[[#This Row],[Base Amount]],2))</f>
        <v/>
      </c>
      <c r="D8" s="7" t="str">
        <f>IF(Table3[[#This Row],[Base Amount]]="","",Table3[[#This Row],[Base Amount]]+Table3[[#This Row],[Vat]])</f>
        <v/>
      </c>
      <c r="E8" s="5"/>
      <c r="F8" s="5"/>
      <c r="G8" s="5"/>
      <c r="H8" s="7"/>
      <c r="I8" s="5"/>
      <c r="K8" s="5" t="s">
        <v>3</v>
      </c>
      <c r="L8" s="2">
        <f>SUM(Table3[Total])</f>
        <v>115</v>
      </c>
    </row>
    <row r="9" spans="1:15" x14ac:dyDescent="0.25">
      <c r="A9" s="7"/>
      <c r="B9" s="7" t="str">
        <f>IF(Table3[[#This Row],[Base Amount]]="","",15/100*Table3[[#This Row],[Base Amount]])</f>
        <v/>
      </c>
      <c r="C9" s="6" t="str">
        <f>IF(Table3[[#This Row],[Base Amount]]="","",ROUND(Table3[[#This Row],[Vat]]/Table3[[#This Row],[Base Amount]],2))</f>
        <v/>
      </c>
      <c r="D9" s="7" t="str">
        <f>IF(Table3[[#This Row],[Base Amount]]="","",Table3[[#This Row],[Base Amount]]+Table3[[#This Row],[Vat]])</f>
        <v/>
      </c>
      <c r="E9" s="5"/>
      <c r="F9" s="5"/>
      <c r="G9" s="5"/>
      <c r="H9" s="7"/>
      <c r="I9" s="5"/>
      <c r="K9" s="5" t="s">
        <v>16</v>
      </c>
      <c r="L9" s="2">
        <f>SUM(Table3[Vat])</f>
        <v>15</v>
      </c>
    </row>
    <row r="10" spans="1:15" x14ac:dyDescent="0.25">
      <c r="A10" s="7"/>
      <c r="B10" s="7" t="str">
        <f>IF(Table3[[#This Row],[Base Amount]]="","",15/100*Table3[[#This Row],[Base Amount]])</f>
        <v/>
      </c>
      <c r="C10" s="6" t="str">
        <f>IF(Table3[[#This Row],[Base Amount]]="","",ROUND(Table3[[#This Row],[Vat]]/Table3[[#This Row],[Base Amount]],2))</f>
        <v/>
      </c>
      <c r="D10" s="7" t="str">
        <f>IF(Table3[[#This Row],[Base Amount]]="","",Table3[[#This Row],[Base Amount]]+Table3[[#This Row],[Vat]])</f>
        <v/>
      </c>
      <c r="E10" s="5"/>
      <c r="F10" s="5"/>
      <c r="G10" s="5"/>
      <c r="H10" s="7"/>
      <c r="I10" s="5"/>
    </row>
    <row r="11" spans="1:15" x14ac:dyDescent="0.25">
      <c r="A11" s="7"/>
      <c r="B11" s="7" t="str">
        <f>IF(Table3[[#This Row],[Base Amount]]="","",15/100*Table3[[#This Row],[Base Amount]])</f>
        <v/>
      </c>
      <c r="C11" s="6" t="str">
        <f>IF(Table3[[#This Row],[Base Amount]]="","",ROUND(Table3[[#This Row],[Vat]]/Table3[[#This Row],[Base Amount]],2))</f>
        <v/>
      </c>
      <c r="D11" s="7" t="str">
        <f>IF(Table3[[#This Row],[Base Amount]]="","",Table3[[#This Row],[Base Amount]]+Table3[[#This Row],[Vat]])</f>
        <v/>
      </c>
      <c r="E11" s="5"/>
      <c r="F11" s="5"/>
      <c r="G11" s="5"/>
      <c r="H11" s="7"/>
      <c r="I11" s="5"/>
    </row>
    <row r="12" spans="1:15" x14ac:dyDescent="0.25">
      <c r="A12" s="7"/>
      <c r="B12" s="7" t="str">
        <f>IF(Table3[[#This Row],[Base Amount]]="","",15/100*Table3[[#This Row],[Base Amount]])</f>
        <v/>
      </c>
      <c r="C12" s="6" t="str">
        <f>IF(Table3[[#This Row],[Base Amount]]="","",ROUND(Table3[[#This Row],[Vat]]/Table3[[#This Row],[Base Amount]],2))</f>
        <v/>
      </c>
      <c r="D12" s="7" t="str">
        <f>IF(Table3[[#This Row],[Base Amount]]="","",Table3[[#This Row],[Base Amount]]+Table3[[#This Row],[Vat]])</f>
        <v/>
      </c>
      <c r="E12" s="5"/>
      <c r="F12" s="5"/>
      <c r="G12" s="5"/>
      <c r="H12" s="7"/>
      <c r="I12" s="5"/>
    </row>
    <row r="13" spans="1:15" x14ac:dyDescent="0.25">
      <c r="A13" s="7"/>
      <c r="B13" s="7" t="str">
        <f>IF(Table3[[#This Row],[Base Amount]]="","",15/100*Table3[[#This Row],[Base Amount]])</f>
        <v/>
      </c>
      <c r="C13" s="6" t="str">
        <f>IF(Table3[[#This Row],[Base Amount]]="","",ROUND(Table3[[#This Row],[Vat]]/Table3[[#This Row],[Base Amount]],2))</f>
        <v/>
      </c>
      <c r="D13" s="7" t="str">
        <f>IF(Table3[[#This Row],[Base Amount]]="","",Table3[[#This Row],[Base Amount]]+Table3[[#This Row],[Vat]])</f>
        <v/>
      </c>
      <c r="E13" s="5"/>
      <c r="F13" s="5"/>
      <c r="G13" s="5"/>
      <c r="H13" s="7"/>
      <c r="I13" s="5"/>
    </row>
    <row r="14" spans="1:15" x14ac:dyDescent="0.25">
      <c r="A14" s="7"/>
      <c r="B14" s="7" t="str">
        <f>IF(Table3[[#This Row],[Base Amount]]="","",15/100*Table3[[#This Row],[Base Amount]])</f>
        <v/>
      </c>
      <c r="C14" s="6" t="str">
        <f>IF(Table3[[#This Row],[Base Amount]]="","",ROUND(Table3[[#This Row],[Vat]]/Table3[[#This Row],[Base Amount]],2))</f>
        <v/>
      </c>
      <c r="D14" s="7" t="str">
        <f>IF(Table3[[#This Row],[Base Amount]]="","",Table3[[#This Row],[Base Amount]]+Table3[[#This Row],[Vat]])</f>
        <v/>
      </c>
      <c r="E14" s="5"/>
      <c r="F14" s="5"/>
      <c r="G14" s="5"/>
      <c r="H14" s="7"/>
      <c r="I14" s="5"/>
    </row>
    <row r="15" spans="1:15" x14ac:dyDescent="0.25">
      <c r="A15" s="7"/>
      <c r="B15" s="7" t="str">
        <f>IF(Table3[[#This Row],[Base Amount]]="","",15/100*Table3[[#This Row],[Base Amount]])</f>
        <v/>
      </c>
      <c r="C15" s="6" t="str">
        <f>IF(Table3[[#This Row],[Base Amount]]="","",ROUND(Table3[[#This Row],[Vat]]/Table3[[#This Row],[Base Amount]],2))</f>
        <v/>
      </c>
      <c r="D15" s="7" t="str">
        <f>IF(Table3[[#This Row],[Base Amount]]="","",Table3[[#This Row],[Base Amount]]+Table3[[#This Row],[Vat]])</f>
        <v/>
      </c>
      <c r="E15" s="5"/>
      <c r="F15" s="5"/>
      <c r="G15" s="5"/>
      <c r="H15" s="7"/>
      <c r="I15" s="5"/>
    </row>
    <row r="16" spans="1:15" x14ac:dyDescent="0.25">
      <c r="A16" s="7"/>
      <c r="B16" s="7" t="str">
        <f>IF(Table3[[#This Row],[Base Amount]]="","",15/100*Table3[[#This Row],[Base Amount]])</f>
        <v/>
      </c>
      <c r="C16" s="6" t="str">
        <f>IF(Table3[[#This Row],[Base Amount]]="","",ROUND(Table3[[#This Row],[Vat]]/Table3[[#This Row],[Base Amount]],2))</f>
        <v/>
      </c>
      <c r="D16" s="7" t="str">
        <f>IF(Table3[[#This Row],[Base Amount]]="","",Table3[[#This Row],[Base Amount]]+Table3[[#This Row],[Vat]])</f>
        <v/>
      </c>
      <c r="E16" s="5"/>
      <c r="F16" s="5"/>
      <c r="G16" s="5"/>
      <c r="H16" s="7"/>
      <c r="I16" s="5"/>
    </row>
    <row r="17" spans="1:9" x14ac:dyDescent="0.25">
      <c r="A17" s="7"/>
      <c r="B17" s="7" t="str">
        <f>IF(Table3[[#This Row],[Base Amount]]="","",15/100*Table3[[#This Row],[Base Amount]])</f>
        <v/>
      </c>
      <c r="C17" s="6" t="str">
        <f>IF(Table3[[#This Row],[Base Amount]]="","",ROUND(Table3[[#This Row],[Vat]]/Table3[[#This Row],[Base Amount]],2))</f>
        <v/>
      </c>
      <c r="D17" s="7" t="str">
        <f>IF(Table3[[#This Row],[Base Amount]]="","",Table3[[#This Row],[Base Amount]]+Table3[[#This Row],[Vat]])</f>
        <v/>
      </c>
      <c r="E17" s="5"/>
      <c r="F17" s="5"/>
      <c r="G17" s="5"/>
      <c r="H17" s="7"/>
      <c r="I17" s="5"/>
    </row>
    <row r="18" spans="1:9" x14ac:dyDescent="0.25">
      <c r="A18" s="7"/>
      <c r="B18" s="7" t="str">
        <f>IF(Table3[[#This Row],[Base Amount]]="","",15/100*Table3[[#This Row],[Base Amount]])</f>
        <v/>
      </c>
      <c r="C18" s="6" t="str">
        <f>IF(Table3[[#This Row],[Base Amount]]="","",ROUND(Table3[[#This Row],[Vat]]/Table3[[#This Row],[Base Amount]],2))</f>
        <v/>
      </c>
      <c r="D18" s="7" t="str">
        <f>IF(Table3[[#This Row],[Base Amount]]="","",Table3[[#This Row],[Base Amount]]+Table3[[#This Row],[Vat]])</f>
        <v/>
      </c>
      <c r="E18" s="5"/>
      <c r="F18" s="5"/>
      <c r="G18" s="5"/>
      <c r="H18" s="7"/>
      <c r="I18" s="5"/>
    </row>
    <row r="19" spans="1:9" x14ac:dyDescent="0.25">
      <c r="A19" s="7"/>
      <c r="B19" s="7" t="str">
        <f>IF(Table3[[#This Row],[Base Amount]]="","",15/100*Table3[[#This Row],[Base Amount]])</f>
        <v/>
      </c>
      <c r="C19" s="6" t="str">
        <f>IF(Table3[[#This Row],[Base Amount]]="","",ROUND(Table3[[#This Row],[Vat]]/Table3[[#This Row],[Base Amount]],2))</f>
        <v/>
      </c>
      <c r="D19" s="7" t="str">
        <f>IF(Table3[[#This Row],[Base Amount]]="","",Table3[[#This Row],[Base Amount]]+Table3[[#This Row],[Vat]])</f>
        <v/>
      </c>
      <c r="E19" s="5"/>
      <c r="F19" s="5"/>
      <c r="G19" s="5"/>
      <c r="H19" s="7"/>
      <c r="I19" s="5"/>
    </row>
    <row r="20" spans="1:9" x14ac:dyDescent="0.25">
      <c r="A20" s="7"/>
      <c r="B20" s="7" t="str">
        <f>IF(Table3[[#This Row],[Base Amount]]="","",15/100*Table3[[#This Row],[Base Amount]])</f>
        <v/>
      </c>
      <c r="C20" s="6" t="str">
        <f>IF(Table3[[#This Row],[Base Amount]]="","",ROUND(Table3[[#This Row],[Vat]]/Table3[[#This Row],[Base Amount]],2))</f>
        <v/>
      </c>
      <c r="D20" s="7" t="str">
        <f>IF(Table3[[#This Row],[Base Amount]]="","",Table3[[#This Row],[Base Amount]]+Table3[[#This Row],[Vat]])</f>
        <v/>
      </c>
      <c r="E20" s="5"/>
      <c r="F20" s="5"/>
      <c r="G20" s="5"/>
      <c r="H20" s="7"/>
      <c r="I20" s="5"/>
    </row>
    <row r="21" spans="1:9" x14ac:dyDescent="0.25">
      <c r="A21" s="7"/>
      <c r="B21" s="7" t="str">
        <f>IF(Table3[[#This Row],[Base Amount]]="","",15/100*Table3[[#This Row],[Base Amount]])</f>
        <v/>
      </c>
      <c r="C21" s="6" t="str">
        <f>IF(Table3[[#This Row],[Base Amount]]="","",ROUND(Table3[[#This Row],[Vat]]/Table3[[#This Row],[Base Amount]],2))</f>
        <v/>
      </c>
      <c r="D21" s="7" t="str">
        <f>IF(Table3[[#This Row],[Base Amount]]="","",Table3[[#This Row],[Base Amount]]+Table3[[#This Row],[Vat]])</f>
        <v/>
      </c>
      <c r="E21" s="5"/>
      <c r="F21" s="5"/>
      <c r="G21" s="5"/>
      <c r="H21" s="7"/>
      <c r="I21" s="5"/>
    </row>
    <row r="22" spans="1:9" x14ac:dyDescent="0.25">
      <c r="A22" s="7"/>
      <c r="B22" s="7" t="str">
        <f>IF(Table3[[#This Row],[Base Amount]]="","",15/100*Table3[[#This Row],[Base Amount]])</f>
        <v/>
      </c>
      <c r="C22" s="6" t="str">
        <f>IF(Table3[[#This Row],[Base Amount]]="","",ROUND(Table3[[#This Row],[Vat]]/Table3[[#This Row],[Base Amount]],2))</f>
        <v/>
      </c>
      <c r="D22" s="7" t="str">
        <f>IF(Table3[[#This Row],[Base Amount]]="","",Table3[[#This Row],[Base Amount]]+Table3[[#This Row],[Vat]])</f>
        <v/>
      </c>
      <c r="E22" s="5"/>
      <c r="F22" s="5"/>
      <c r="G22" s="5"/>
      <c r="H22" s="7"/>
      <c r="I22" s="5"/>
    </row>
    <row r="23" spans="1:9" x14ac:dyDescent="0.25">
      <c r="A23" s="7"/>
      <c r="B23" s="7" t="str">
        <f>IF(Table3[[#This Row],[Base Amount]]="","",15/100*Table3[[#This Row],[Base Amount]])</f>
        <v/>
      </c>
      <c r="C23" s="6" t="str">
        <f>IF(Table3[[#This Row],[Base Amount]]="","",ROUND(Table3[[#This Row],[Vat]]/Table3[[#This Row],[Base Amount]],2))</f>
        <v/>
      </c>
      <c r="D23" s="7" t="str">
        <f>IF(Table3[[#This Row],[Base Amount]]="","",Table3[[#This Row],[Base Amount]]+Table3[[#This Row],[Vat]])</f>
        <v/>
      </c>
      <c r="E23" s="5"/>
      <c r="F23" s="5"/>
      <c r="G23" s="5"/>
      <c r="H23" s="7"/>
      <c r="I23" s="5"/>
    </row>
    <row r="24" spans="1:9" x14ac:dyDescent="0.25">
      <c r="A24" s="7"/>
      <c r="B24" s="7" t="str">
        <f>IF(Table3[[#This Row],[Base Amount]]="","",15/100*Table3[[#This Row],[Base Amount]])</f>
        <v/>
      </c>
      <c r="C24" s="6" t="str">
        <f>IF(Table3[[#This Row],[Base Amount]]="","",ROUND(Table3[[#This Row],[Vat]]/Table3[[#This Row],[Base Amount]],2))</f>
        <v/>
      </c>
      <c r="D24" s="7" t="str">
        <f>IF(Table3[[#This Row],[Base Amount]]="","",Table3[[#This Row],[Base Amount]]+Table3[[#This Row],[Vat]])</f>
        <v/>
      </c>
      <c r="E24" s="5"/>
      <c r="F24" s="5"/>
      <c r="G24" s="5"/>
      <c r="H24" s="7"/>
      <c r="I24" s="5"/>
    </row>
    <row r="25" spans="1:9" x14ac:dyDescent="0.25">
      <c r="A25" s="7"/>
      <c r="B25" s="7" t="str">
        <f>IF(Table3[[#This Row],[Base Amount]]="","",15/100*Table3[[#This Row],[Base Amount]])</f>
        <v/>
      </c>
      <c r="C25" s="6" t="str">
        <f>IF(Table3[[#This Row],[Base Amount]]="","",ROUND(Table3[[#This Row],[Vat]]/Table3[[#This Row],[Base Amount]],2))</f>
        <v/>
      </c>
      <c r="D25" s="7" t="str">
        <f>IF(Table3[[#This Row],[Base Amount]]="","",Table3[[#This Row],[Base Amount]]+Table3[[#This Row],[Vat]])</f>
        <v/>
      </c>
      <c r="E25" s="5"/>
      <c r="F25" s="5"/>
      <c r="G25" s="5"/>
      <c r="H25" s="7"/>
      <c r="I25" s="5"/>
    </row>
    <row r="26" spans="1:9" x14ac:dyDescent="0.25">
      <c r="A26" s="7"/>
      <c r="B26" s="7" t="str">
        <f>IF(Table3[[#This Row],[Base Amount]]="","",15/100*Table3[[#This Row],[Base Amount]])</f>
        <v/>
      </c>
      <c r="C26" s="6" t="str">
        <f>IF(Table3[[#This Row],[Base Amount]]="","",ROUND(Table3[[#This Row],[Vat]]/Table3[[#This Row],[Base Amount]],2))</f>
        <v/>
      </c>
      <c r="D26" s="7" t="str">
        <f>IF(Table3[[#This Row],[Base Amount]]="","",Table3[[#This Row],[Base Amount]]+Table3[[#This Row],[Vat]])</f>
        <v/>
      </c>
      <c r="E26" s="5"/>
      <c r="F26" s="5"/>
      <c r="G26" s="5"/>
      <c r="H26" s="7"/>
      <c r="I26" s="5"/>
    </row>
    <row r="27" spans="1:9" x14ac:dyDescent="0.25">
      <c r="A27" s="7"/>
      <c r="B27" s="7" t="str">
        <f>IF(Table3[[#This Row],[Base Amount]]="","",15/100*Table3[[#This Row],[Base Amount]])</f>
        <v/>
      </c>
      <c r="C27" s="6" t="str">
        <f>IF(Table3[[#This Row],[Base Amount]]="","",ROUND(Table3[[#This Row],[Vat]]/Table3[[#This Row],[Base Amount]],2))</f>
        <v/>
      </c>
      <c r="D27" s="7" t="str">
        <f>IF(Table3[[#This Row],[Base Amount]]="","",Table3[[#This Row],[Base Amount]]+Table3[[#This Row],[Vat]])</f>
        <v/>
      </c>
      <c r="E27" s="5"/>
      <c r="F27" s="5"/>
      <c r="G27" s="5"/>
      <c r="H27" s="7"/>
      <c r="I27" s="5"/>
    </row>
    <row r="28" spans="1:9" x14ac:dyDescent="0.25">
      <c r="A28" s="7"/>
      <c r="B28" s="7" t="str">
        <f>IF(Table3[[#This Row],[Base Amount]]="","",15/100*Table3[[#This Row],[Base Amount]])</f>
        <v/>
      </c>
      <c r="C28" s="6" t="str">
        <f>IF(Table3[[#This Row],[Base Amount]]="","",ROUND(Table3[[#This Row],[Vat]]/Table3[[#This Row],[Base Amount]],2))</f>
        <v/>
      </c>
      <c r="D28" s="7" t="str">
        <f>IF(Table3[[#This Row],[Base Amount]]="","",Table3[[#This Row],[Base Amount]]+Table3[[#This Row],[Vat]])</f>
        <v/>
      </c>
      <c r="E28" s="5"/>
      <c r="F28" s="5"/>
      <c r="G28" s="5"/>
      <c r="H28" s="7"/>
      <c r="I28" s="5"/>
    </row>
    <row r="29" spans="1:9" x14ac:dyDescent="0.25">
      <c r="A29" s="7"/>
      <c r="B29" s="7" t="str">
        <f>IF(Table3[[#This Row],[Base Amount]]="","",15/100*Table3[[#This Row],[Base Amount]])</f>
        <v/>
      </c>
      <c r="C29" s="6" t="str">
        <f>IF(Table3[[#This Row],[Base Amount]]="","",ROUND(Table3[[#This Row],[Vat]]/Table3[[#This Row],[Base Amount]],2))</f>
        <v/>
      </c>
      <c r="D29" s="7" t="str">
        <f>IF(Table3[[#This Row],[Base Amount]]="","",Table3[[#This Row],[Base Amount]]+Table3[[#This Row],[Vat]])</f>
        <v/>
      </c>
      <c r="E29" s="5"/>
      <c r="F29" s="5"/>
      <c r="G29" s="5"/>
      <c r="H29" s="7"/>
      <c r="I29" s="5"/>
    </row>
    <row r="30" spans="1:9" x14ac:dyDescent="0.25">
      <c r="A30" s="7"/>
      <c r="B30" s="7" t="str">
        <f>IF(Table3[[#This Row],[Base Amount]]="","",15/100*Table3[[#This Row],[Base Amount]])</f>
        <v/>
      </c>
      <c r="C30" s="6" t="str">
        <f>IF(Table3[[#This Row],[Base Amount]]="","",ROUND(Table3[[#This Row],[Vat]]/Table3[[#This Row],[Base Amount]],2))</f>
        <v/>
      </c>
      <c r="D30" s="7" t="str">
        <f>IF(Table3[[#This Row],[Base Amount]]="","",Table3[[#This Row],[Base Amount]]+Table3[[#This Row],[Vat]])</f>
        <v/>
      </c>
      <c r="E30" s="5"/>
      <c r="F30" s="5"/>
      <c r="G30" s="5"/>
      <c r="H30" s="7"/>
      <c r="I30" s="5"/>
    </row>
    <row r="31" spans="1:9" x14ac:dyDescent="0.25">
      <c r="A31" s="7"/>
      <c r="B31" s="7" t="str">
        <f>IF(Table3[[#This Row],[Base Amount]]="","",15/100*Table3[[#This Row],[Base Amount]])</f>
        <v/>
      </c>
      <c r="C31" s="6" t="str">
        <f>IF(Table3[[#This Row],[Base Amount]]="","",ROUND(Table3[[#This Row],[Vat]]/Table3[[#This Row],[Base Amount]],2))</f>
        <v/>
      </c>
      <c r="D31" s="7" t="str">
        <f>IF(Table3[[#This Row],[Base Amount]]="","",Table3[[#This Row],[Base Amount]]+Table3[[#This Row],[Vat]])</f>
        <v/>
      </c>
      <c r="E31" s="5"/>
      <c r="F31" s="5"/>
      <c r="G31" s="5"/>
      <c r="H31" s="7"/>
      <c r="I31" s="5"/>
    </row>
    <row r="32" spans="1:9" x14ac:dyDescent="0.25">
      <c r="A32" s="7"/>
      <c r="B32" s="7" t="str">
        <f>IF(Table3[[#This Row],[Base Amount]]="","",15/100*Table3[[#This Row],[Base Amount]])</f>
        <v/>
      </c>
      <c r="C32" s="6" t="str">
        <f>IF(Table3[[#This Row],[Base Amount]]="","",ROUND(Table3[[#This Row],[Vat]]/Table3[[#This Row],[Base Amount]],2))</f>
        <v/>
      </c>
      <c r="D32" s="7" t="str">
        <f>IF(Table3[[#This Row],[Base Amount]]="","",Table3[[#This Row],[Base Amount]]+Table3[[#This Row],[Vat]])</f>
        <v/>
      </c>
      <c r="E32" s="5"/>
      <c r="F32" s="5"/>
      <c r="G32" s="5"/>
      <c r="H32" s="7"/>
      <c r="I32" s="5"/>
    </row>
    <row r="33" spans="1:9" x14ac:dyDescent="0.25">
      <c r="A33" s="7"/>
      <c r="B33" s="7" t="str">
        <f>IF(Table3[[#This Row],[Base Amount]]="","",15/100*Table3[[#This Row],[Base Amount]])</f>
        <v/>
      </c>
      <c r="C33" s="6" t="str">
        <f>IF(Table3[[#This Row],[Base Amount]]="","",ROUND(Table3[[#This Row],[Vat]]/Table3[[#This Row],[Base Amount]],2))</f>
        <v/>
      </c>
      <c r="D33" s="7" t="str">
        <f>IF(Table3[[#This Row],[Base Amount]]="","",Table3[[#This Row],[Base Amount]]+Table3[[#This Row],[Vat]])</f>
        <v/>
      </c>
      <c r="E33" s="5"/>
      <c r="F33" s="5"/>
      <c r="G33" s="5"/>
      <c r="H33" s="7"/>
      <c r="I33" s="5"/>
    </row>
    <row r="34" spans="1:9" x14ac:dyDescent="0.25">
      <c r="A34" s="7"/>
      <c r="B34" s="7" t="str">
        <f>IF(Table3[[#This Row],[Base Amount]]="","",15/100*Table3[[#This Row],[Base Amount]])</f>
        <v/>
      </c>
      <c r="C34" s="6" t="str">
        <f>IF(Table3[[#This Row],[Base Amount]]="","",ROUND(Table3[[#This Row],[Vat]]/Table3[[#This Row],[Base Amount]],2))</f>
        <v/>
      </c>
      <c r="D34" s="7" t="str">
        <f>IF(Table3[[#This Row],[Base Amount]]="","",Table3[[#This Row],[Base Amount]]+Table3[[#This Row],[Vat]])</f>
        <v/>
      </c>
      <c r="E34" s="5"/>
      <c r="F34" s="5"/>
      <c r="G34" s="5"/>
      <c r="H34" s="7"/>
      <c r="I34" s="5"/>
    </row>
    <row r="35" spans="1:9" x14ac:dyDescent="0.25">
      <c r="A35" s="7"/>
      <c r="B35" s="7" t="str">
        <f>IF(Table3[[#This Row],[Base Amount]]="","",15/100*Table3[[#This Row],[Base Amount]])</f>
        <v/>
      </c>
      <c r="C35" s="6" t="str">
        <f>IF(Table3[[#This Row],[Base Amount]]="","",ROUND(Table3[[#This Row],[Vat]]/Table3[[#This Row],[Base Amount]],2))</f>
        <v/>
      </c>
      <c r="D35" s="7" t="str">
        <f>IF(Table3[[#This Row],[Base Amount]]="","",Table3[[#This Row],[Base Amount]]+Table3[[#This Row],[Vat]])</f>
        <v/>
      </c>
      <c r="E35" s="5"/>
      <c r="F35" s="5"/>
      <c r="G35" s="5"/>
      <c r="H35" s="7"/>
      <c r="I35" s="5"/>
    </row>
    <row r="36" spans="1:9" x14ac:dyDescent="0.25">
      <c r="A36" s="7"/>
      <c r="B36" s="7" t="str">
        <f>IF(Table3[[#This Row],[Base Amount]]="","",15/100*Table3[[#This Row],[Base Amount]])</f>
        <v/>
      </c>
      <c r="C36" s="6" t="str">
        <f>IF(Table3[[#This Row],[Base Amount]]="","",ROUND(Table3[[#This Row],[Vat]]/Table3[[#This Row],[Base Amount]],2))</f>
        <v/>
      </c>
      <c r="D36" s="7" t="str">
        <f>IF(Table3[[#This Row],[Base Amount]]="","",Table3[[#This Row],[Base Amount]]+Table3[[#This Row],[Vat]])</f>
        <v/>
      </c>
      <c r="E36" s="5"/>
      <c r="F36" s="5"/>
      <c r="G36" s="5"/>
      <c r="H36" s="7"/>
      <c r="I36" s="5"/>
    </row>
    <row r="37" spans="1:9" x14ac:dyDescent="0.25">
      <c r="A37" s="7"/>
      <c r="B37" s="7" t="str">
        <f>IF(Table3[[#This Row],[Base Amount]]="","",15/100*Table3[[#This Row],[Base Amount]])</f>
        <v/>
      </c>
      <c r="C37" s="6" t="str">
        <f>IF(Table3[[#This Row],[Base Amount]]="","",ROUND(Table3[[#This Row],[Vat]]/Table3[[#This Row],[Base Amount]],2))</f>
        <v/>
      </c>
      <c r="D37" s="7" t="str">
        <f>IF(Table3[[#This Row],[Base Amount]]="","",Table3[[#This Row],[Base Amount]]+Table3[[#This Row],[Vat]])</f>
        <v/>
      </c>
      <c r="E37" s="5"/>
      <c r="F37" s="5"/>
      <c r="G37" s="5"/>
      <c r="H37" s="7"/>
      <c r="I37" s="5"/>
    </row>
    <row r="38" spans="1:9" x14ac:dyDescent="0.25">
      <c r="A38" s="7"/>
      <c r="B38" s="7" t="str">
        <f>IF(Table3[[#This Row],[Base Amount]]="","",15/100*Table3[[#This Row],[Base Amount]])</f>
        <v/>
      </c>
      <c r="C38" s="6" t="str">
        <f>IF(Table3[[#This Row],[Base Amount]]="","",ROUND(Table3[[#This Row],[Vat]]/Table3[[#This Row],[Base Amount]],2))</f>
        <v/>
      </c>
      <c r="D38" s="7" t="str">
        <f>IF(Table3[[#This Row],[Base Amount]]="","",Table3[[#This Row],[Base Amount]]+Table3[[#This Row],[Vat]])</f>
        <v/>
      </c>
      <c r="E38" s="5"/>
      <c r="F38" s="5"/>
      <c r="G38" s="5"/>
      <c r="H38" s="7"/>
      <c r="I38" s="5"/>
    </row>
    <row r="39" spans="1:9" x14ac:dyDescent="0.25">
      <c r="A39" s="7"/>
      <c r="B39" s="7" t="str">
        <f>IF(Table3[[#This Row],[Base Amount]]="","",15/100*Table3[[#This Row],[Base Amount]])</f>
        <v/>
      </c>
      <c r="C39" s="6" t="str">
        <f>IF(Table3[[#This Row],[Base Amount]]="","",ROUND(Table3[[#This Row],[Vat]]/Table3[[#This Row],[Base Amount]],2))</f>
        <v/>
      </c>
      <c r="D39" s="7" t="str">
        <f>IF(Table3[[#This Row],[Base Amount]]="","",Table3[[#This Row],[Base Amount]]+Table3[[#This Row],[Vat]])</f>
        <v/>
      </c>
      <c r="E39" s="5"/>
      <c r="F39" s="5"/>
      <c r="G39" s="5"/>
      <c r="H39" s="7"/>
      <c r="I39" s="5"/>
    </row>
    <row r="40" spans="1:9" x14ac:dyDescent="0.25">
      <c r="A40" s="7"/>
      <c r="B40" s="7" t="str">
        <f>IF(Table3[[#This Row],[Base Amount]]="","",15/100*Table3[[#This Row],[Base Amount]])</f>
        <v/>
      </c>
      <c r="C40" s="6" t="str">
        <f>IF(Table3[[#This Row],[Base Amount]]="","",ROUND(Table3[[#This Row],[Vat]]/Table3[[#This Row],[Base Amount]],2))</f>
        <v/>
      </c>
      <c r="D40" s="7" t="str">
        <f>IF(Table3[[#This Row],[Base Amount]]="","",Table3[[#This Row],[Base Amount]]+Table3[[#This Row],[Vat]])</f>
        <v/>
      </c>
      <c r="E40" s="5"/>
      <c r="F40" s="5"/>
      <c r="G40" s="5"/>
      <c r="H40" s="7"/>
      <c r="I40" s="5"/>
    </row>
    <row r="41" spans="1:9" x14ac:dyDescent="0.25">
      <c r="A41" s="7"/>
      <c r="B41" s="7" t="str">
        <f>IF(Table3[[#This Row],[Base Amount]]="","",15/100*Table3[[#This Row],[Base Amount]])</f>
        <v/>
      </c>
      <c r="C41" s="6" t="str">
        <f>IF(Table3[[#This Row],[Base Amount]]="","",ROUND(Table3[[#This Row],[Vat]]/Table3[[#This Row],[Base Amount]],2))</f>
        <v/>
      </c>
      <c r="D41" s="7" t="str">
        <f>IF(Table3[[#This Row],[Base Amount]]="","",Table3[[#This Row],[Base Amount]]+Table3[[#This Row],[Vat]])</f>
        <v/>
      </c>
      <c r="E41" s="5"/>
      <c r="F41" s="5"/>
      <c r="G41" s="5"/>
      <c r="H41" s="7"/>
      <c r="I41" s="5"/>
    </row>
  </sheetData>
  <mergeCells count="3">
    <mergeCell ref="A1:I2"/>
    <mergeCell ref="K2:O4"/>
    <mergeCell ref="K6:O7"/>
  </mergeCells>
  <pageMargins left="0.7" right="0.7" top="0.75" bottom="0.75" header="0.3" footer="0.3"/>
  <pageSetup orientation="portrait" horizontalDpi="300" verticalDpi="30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Fixed Cost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ㅤyzm</dc:creator>
  <cp:lastModifiedBy>yzm</cp:lastModifiedBy>
  <dcterms:created xsi:type="dcterms:W3CDTF">2015-06-05T18:17:20Z</dcterms:created>
  <dcterms:modified xsi:type="dcterms:W3CDTF">2023-07-25T00:15:20Z</dcterms:modified>
</cp:coreProperties>
</file>